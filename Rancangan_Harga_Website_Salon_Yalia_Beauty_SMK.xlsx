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ragon\www\salon-yalia-beauty\"/>
    </mc:Choice>
  </mc:AlternateContent>
  <xr:revisionPtr revIDLastSave="0" documentId="13_ncr:1_{2CC50A03-A1A8-4422-8212-CDA5D9BD7427}" xr6:coauthVersionLast="47" xr6:coauthVersionMax="47" xr10:uidLastSave="{00000000-0000-0000-0000-000000000000}"/>
  <bookViews>
    <workbookView xWindow="12" yWindow="0" windowWidth="23028" windowHeight="12240" xr2:uid="{00000000-000D-0000-FFFF-FFFF00000000}"/>
  </bookViews>
  <sheets>
    <sheet name="Estimasi Biaya SMK Free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G15" i="1"/>
  <c r="G14" i="1"/>
  <c r="G13" i="1"/>
  <c r="G12" i="1"/>
  <c r="G11" i="1"/>
  <c r="G10" i="1"/>
  <c r="B21" i="1" l="1"/>
  <c r="B22" i="1"/>
  <c r="B23" i="1"/>
</calcChain>
</file>

<file path=xl/sharedStrings.xml><?xml version="1.0" encoding="utf-8"?>
<sst xmlns="http://schemas.openxmlformats.org/spreadsheetml/2006/main" count="45" uniqueCount="41">
  <si>
    <t>PENWARAN HARGA &amp; ESTIMASI BIAYA DEVELOPMENT WEBSITE (FRESH GRADUATE SMK RATE)</t>
  </si>
  <si>
    <t>Klien</t>
  </si>
  <si>
    <t>Salon Yalia Beauty</t>
  </si>
  <si>
    <t>Perihal</t>
  </si>
  <si>
    <t>Pengembangan Website &amp; Sistem Reservasi</t>
  </si>
  <si>
    <t>Tanggal</t>
  </si>
  <si>
    <t>31 Agustus 2026</t>
  </si>
  <si>
    <t>Developer / Role</t>
  </si>
  <si>
    <t>No</t>
  </si>
  <si>
    <t>Modul / Fitur Website</t>
  </si>
  <si>
    <t>Deskripsi &amp; Cakupan Spesifikasi</t>
  </si>
  <si>
    <t>Qty</t>
  </si>
  <si>
    <t>Satuan</t>
  </si>
  <si>
    <t>Harga Satuan (Rp)</t>
  </si>
  <si>
    <t>Total Biaya (Rp)</t>
  </si>
  <si>
    <t>Dokumentasi &amp; Arsitektur Sistem</t>
  </si>
  <si>
    <t>Perancangan Flowchart Manual (5 Diagram), ERD Pohon (15 Entitas), DFD Level 0 &amp; Level 1 Data Stores, Dokumen UKK RPL</t>
  </si>
  <si>
    <t>Paket</t>
  </si>
  <si>
    <t>Design UI/UX &amp; Responsive Front-End</t>
  </si>
  <si>
    <t>Layouting Landing Page Soft Pink, Katalog Treatment, Navigation Component, Responsive Mobile &amp; Desktop (Blade &amp; Tailwind)</t>
  </si>
  <si>
    <t>Core Booking Engine &amp; Home Service GPS</t>
  </si>
  <si>
    <t>Sistem Reservasi Salon vs Home Service, Calculation Slot Jam Bebas Bentrok, Validasi Radius GPS, Penugasan Beautician</t>
  </si>
  <si>
    <t>Modul</t>
  </si>
  <si>
    <t>Payment Gateway &amp; Webhook Midtrans</t>
  </si>
  <si>
    <t>Integrasi Payment Gateway Midtrans (QRIS &amp; Snap Popup), Webhook Listener Settlement/Expired, Digital E-Receipt</t>
  </si>
  <si>
    <t>Gamifikasi, Loyalty Tier &amp; Voucher Engine</t>
  </si>
  <si>
    <t>Sistem Poin Rewards PTS per Treatment, Badge Level (Silver/Gold/Platinum), Check-in Streak, Kode Voucher Diskon</t>
  </si>
  <si>
    <t>Admin Portal, Journal Finance &amp; OCR Receipt</t>
  </si>
  <si>
    <t>Dashboard Admin Monitoring Reservasi, Laporan Keuangan Ledger (Income/Expense), OCR AI Ekstraksi Struk Belanja</t>
  </si>
  <si>
    <t>SUBTOTAL BIAYA FITUR</t>
  </si>
  <si>
    <t>GRAND TOTAL ESTIMASI BIAYA PROYEK</t>
  </si>
  <si>
    <t>TERMIN PEMBAYARAN (PAYMENT MILESTONES)</t>
  </si>
  <si>
    <t>LAYANAN TERMASUK (INCLUSIONS)</t>
  </si>
  <si>
    <t>Termin 1 (DP 30%)</t>
  </si>
  <si>
    <t>✓ Source Code Lengkap (Laravel 13 &amp; Tailwind)</t>
  </si>
  <si>
    <t>Termin 2 (Progress 40%)</t>
  </si>
  <si>
    <t>✓ Dokumentasi Lengkap (Flowchart, ERD, DFD)</t>
  </si>
  <si>
    <t>Termin 3 (Pelunasan 30%)</t>
  </si>
  <si>
    <t>✓ Free Maintenance &amp; Bug Fix (1 Bulan)</t>
  </si>
  <si>
    <t>Proyek: Sistem Reservasi Salon &amp; Home Service (Salon Yalia Beauty)</t>
  </si>
  <si>
    <t>Junior Fullstack Dev (SMK PPLG)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</si>
</sst>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\ #,##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E2EFE0"/>
      <name val="Segoe UI"/>
    </font>
    <font>
      <b/>
      <sz val="9"/>
      <color rgb="FF555555"/>
      <name val="Segoe UI"/>
    </font>
    <font>
      <b/>
      <sz val="10"/>
      <color rgb="FF212121"/>
      <name val="Segoe UI"/>
    </font>
    <font>
      <sz val="10"/>
      <color rgb="FF212121"/>
      <name val="Segoe UI"/>
    </font>
    <font>
      <b/>
      <sz val="10"/>
      <color rgb="FFFFFFFF"/>
      <name val="Segoe UI"/>
    </font>
    <font>
      <b/>
      <sz val="11"/>
      <color rgb="FF1B4314"/>
      <name val="Segoe UI"/>
    </font>
    <font>
      <b/>
      <sz val="10"/>
      <color rgb="FF2D5A27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D5A27"/>
        <bgColor rgb="FF2D5A27"/>
      </patternFill>
    </fill>
    <fill>
      <patternFill patternType="solid">
        <fgColor rgb="FF385723"/>
        <bgColor rgb="FF385723"/>
      </patternFill>
    </fill>
    <fill>
      <patternFill patternType="solid">
        <fgColor rgb="FFF4F9F3"/>
        <bgColor rgb="FFF4F9F3"/>
      </patternFill>
    </fill>
    <fill>
      <patternFill patternType="solid">
        <fgColor rgb="FFE2EFE0"/>
        <bgColor rgb="FFE2EFE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2D5A2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8" fillId="0" borderId="0" xfId="0" applyFont="1"/>
    <xf numFmtId="0" fontId="5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0" workbookViewId="0">
      <selection activeCell="C6" sqref="C6"/>
    </sheetView>
  </sheetViews>
  <sheetFormatPr defaultRowHeight="14.4" x14ac:dyDescent="0.3"/>
  <cols>
    <col min="1" max="1" width="23.21875" bestFit="1" customWidth="1"/>
    <col min="2" max="2" width="38" customWidth="1"/>
    <col min="3" max="3" width="65" customWidth="1"/>
    <col min="4" max="4" width="8" customWidth="1"/>
    <col min="5" max="5" width="42" customWidth="1"/>
    <col min="6" max="6" width="20" customWidth="1"/>
    <col min="7" max="7" width="22" customWidth="1"/>
  </cols>
  <sheetData>
    <row r="1" spans="1:7" x14ac:dyDescent="0.3">
      <c r="A1" s="21" t="s">
        <v>0</v>
      </c>
      <c r="B1" s="22"/>
      <c r="C1" s="22"/>
      <c r="D1" s="22"/>
      <c r="E1" s="22"/>
      <c r="F1" s="22"/>
      <c r="G1" s="22"/>
    </row>
    <row r="2" spans="1:7" x14ac:dyDescent="0.3">
      <c r="A2" s="22"/>
      <c r="B2" s="22"/>
      <c r="C2" s="22"/>
      <c r="D2" s="22"/>
      <c r="E2" s="22"/>
      <c r="F2" s="22"/>
      <c r="G2" s="22"/>
    </row>
    <row r="3" spans="1:7" ht="15" x14ac:dyDescent="0.3">
      <c r="A3" s="23" t="s">
        <v>39</v>
      </c>
      <c r="B3" s="22"/>
      <c r="C3" s="22"/>
      <c r="D3" s="22"/>
      <c r="E3" s="22"/>
      <c r="F3" s="22"/>
      <c r="G3" s="22"/>
    </row>
    <row r="5" spans="1:7" ht="15" x14ac:dyDescent="0.3">
      <c r="A5" s="1" t="s">
        <v>1</v>
      </c>
      <c r="B5" s="2" t="s">
        <v>2</v>
      </c>
      <c r="E5" s="1"/>
      <c r="F5" s="3"/>
    </row>
    <row r="6" spans="1:7" ht="15" x14ac:dyDescent="0.3">
      <c r="A6" s="1" t="s">
        <v>3</v>
      </c>
      <c r="B6" s="2" t="s">
        <v>4</v>
      </c>
      <c r="E6" s="1" t="s">
        <v>5</v>
      </c>
      <c r="F6" s="3" t="s">
        <v>6</v>
      </c>
    </row>
    <row r="7" spans="1:7" ht="15" x14ac:dyDescent="0.3">
      <c r="A7" s="1" t="s">
        <v>7</v>
      </c>
      <c r="B7" s="2" t="s">
        <v>40</v>
      </c>
      <c r="E7" s="1"/>
      <c r="F7" s="3"/>
    </row>
    <row r="8" spans="1:7" ht="10.050000000000001" customHeight="1" x14ac:dyDescent="0.3"/>
    <row r="9" spans="1:7" ht="25.95" customHeight="1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</row>
    <row r="10" spans="1:7" ht="31.95" customHeight="1" x14ac:dyDescent="0.3">
      <c r="A10" s="5">
        <v>1</v>
      </c>
      <c r="B10" s="6" t="s">
        <v>15</v>
      </c>
      <c r="C10" s="7" t="s">
        <v>16</v>
      </c>
      <c r="D10" s="5">
        <v>1</v>
      </c>
      <c r="E10" s="5" t="s">
        <v>17</v>
      </c>
      <c r="F10" s="8">
        <v>750000</v>
      </c>
      <c r="G10" s="9">
        <f t="shared" ref="G10:G15" si="0">D10*F10</f>
        <v>750000</v>
      </c>
    </row>
    <row r="11" spans="1:7" ht="31.95" customHeight="1" x14ac:dyDescent="0.3">
      <c r="A11" s="10">
        <v>2</v>
      </c>
      <c r="B11" s="11" t="s">
        <v>18</v>
      </c>
      <c r="C11" s="12" t="s">
        <v>19</v>
      </c>
      <c r="D11" s="10">
        <v>1</v>
      </c>
      <c r="E11" s="10" t="s">
        <v>17</v>
      </c>
      <c r="F11" s="13">
        <v>1000000</v>
      </c>
      <c r="G11" s="14">
        <f t="shared" si="0"/>
        <v>1000000</v>
      </c>
    </row>
    <row r="12" spans="1:7" ht="31.95" customHeight="1" x14ac:dyDescent="0.3">
      <c r="A12" s="5">
        <v>3</v>
      </c>
      <c r="B12" s="6" t="s">
        <v>20</v>
      </c>
      <c r="C12" s="7" t="s">
        <v>21</v>
      </c>
      <c r="D12" s="5">
        <v>1</v>
      </c>
      <c r="E12" s="5" t="s">
        <v>22</v>
      </c>
      <c r="F12" s="8">
        <v>1500000</v>
      </c>
      <c r="G12" s="9">
        <f t="shared" si="0"/>
        <v>1500000</v>
      </c>
    </row>
    <row r="13" spans="1:7" ht="31.95" customHeight="1" x14ac:dyDescent="0.3">
      <c r="A13" s="10">
        <v>4</v>
      </c>
      <c r="B13" s="11" t="s">
        <v>23</v>
      </c>
      <c r="C13" s="12" t="s">
        <v>24</v>
      </c>
      <c r="D13" s="10">
        <v>1</v>
      </c>
      <c r="E13" s="10" t="s">
        <v>22</v>
      </c>
      <c r="F13" s="13">
        <v>1000000</v>
      </c>
      <c r="G13" s="14">
        <f t="shared" si="0"/>
        <v>1000000</v>
      </c>
    </row>
    <row r="14" spans="1:7" ht="31.95" customHeight="1" x14ac:dyDescent="0.3">
      <c r="A14" s="5">
        <v>5</v>
      </c>
      <c r="B14" s="6" t="s">
        <v>25</v>
      </c>
      <c r="C14" s="7" t="s">
        <v>26</v>
      </c>
      <c r="D14" s="5">
        <v>1</v>
      </c>
      <c r="E14" s="5" t="s">
        <v>22</v>
      </c>
      <c r="F14" s="8">
        <v>750000</v>
      </c>
      <c r="G14" s="9">
        <f t="shared" si="0"/>
        <v>750000</v>
      </c>
    </row>
    <row r="15" spans="1:7" ht="31.95" customHeight="1" x14ac:dyDescent="0.3">
      <c r="A15" s="10">
        <v>6</v>
      </c>
      <c r="B15" s="11" t="s">
        <v>27</v>
      </c>
      <c r="C15" s="12" t="s">
        <v>28</v>
      </c>
      <c r="D15" s="10">
        <v>1</v>
      </c>
      <c r="E15" s="10" t="s">
        <v>22</v>
      </c>
      <c r="F15" s="13">
        <v>1000000</v>
      </c>
      <c r="G15" s="14">
        <f t="shared" si="0"/>
        <v>1000000</v>
      </c>
    </row>
    <row r="16" spans="1:7" ht="24" customHeight="1" x14ac:dyDescent="0.3">
      <c r="A16" s="19" t="s">
        <v>29</v>
      </c>
      <c r="B16" s="20"/>
      <c r="C16" s="20"/>
      <c r="D16" s="20"/>
      <c r="E16" s="20"/>
      <c r="F16" s="20"/>
      <c r="G16" s="15">
        <f>SUM(G10:G15)</f>
        <v>6000000</v>
      </c>
    </row>
    <row r="17" spans="1:7" ht="22.05" customHeight="1" x14ac:dyDescent="0.3">
      <c r="A17" s="25"/>
      <c r="B17" s="20"/>
      <c r="C17" s="20"/>
      <c r="D17" s="20"/>
      <c r="E17" s="20"/>
      <c r="F17" s="20"/>
      <c r="G17" s="16"/>
    </row>
    <row r="18" spans="1:7" ht="28.05" customHeight="1" x14ac:dyDescent="0.3">
      <c r="A18" s="26" t="s">
        <v>30</v>
      </c>
      <c r="B18" s="20"/>
      <c r="C18" s="20"/>
      <c r="D18" s="20"/>
      <c r="E18" s="20"/>
      <c r="F18" s="20"/>
      <c r="G18" s="17">
        <f>G16-G17</f>
        <v>6000000</v>
      </c>
    </row>
    <row r="20" spans="1:7" ht="15" x14ac:dyDescent="0.35">
      <c r="A20" s="24" t="s">
        <v>31</v>
      </c>
      <c r="B20" s="22"/>
      <c r="C20" s="22"/>
      <c r="D20" s="22"/>
      <c r="E20" s="24" t="s">
        <v>32</v>
      </c>
      <c r="F20" s="22"/>
      <c r="G20" s="22"/>
    </row>
    <row r="21" spans="1:7" ht="19.95" customHeight="1" x14ac:dyDescent="0.3">
      <c r="A21" s="3" t="s">
        <v>33</v>
      </c>
      <c r="B21" s="18">
        <f>G18*0.3</f>
        <v>1800000</v>
      </c>
      <c r="E21" s="3" t="s">
        <v>34</v>
      </c>
    </row>
    <row r="22" spans="1:7" ht="19.95" customHeight="1" x14ac:dyDescent="0.3">
      <c r="A22" s="3" t="s">
        <v>35</v>
      </c>
      <c r="B22" s="18">
        <f>G18*0.4</f>
        <v>2400000</v>
      </c>
      <c r="E22" s="3" t="s">
        <v>36</v>
      </c>
    </row>
    <row r="23" spans="1:7" ht="19.95" customHeight="1" x14ac:dyDescent="0.3">
      <c r="A23" s="3" t="s">
        <v>37</v>
      </c>
      <c r="B23" s="18">
        <f>G18*0.3</f>
        <v>1800000</v>
      </c>
      <c r="E23" s="3" t="s">
        <v>38</v>
      </c>
    </row>
  </sheetData>
  <mergeCells count="7">
    <mergeCell ref="A16:F16"/>
    <mergeCell ref="A1:G2"/>
    <mergeCell ref="A3:G3"/>
    <mergeCell ref="A20:D20"/>
    <mergeCell ref="A17:F17"/>
    <mergeCell ref="A18:F18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Estimasi Biaya SMK Freelance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GAMING</cp:lastModifiedBy>
  <dcterms:created xsi:type="dcterms:W3CDTF">2026-09-01T00:14:59Z</dcterms:created>
  <dcterms:modified xsi:type="dcterms:W3CDTF">2026-09-01T00:17:54Z</dcterms:modified>
</cp:coreProperties>
</file>