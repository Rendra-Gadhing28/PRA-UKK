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si Biaya Web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FE0"/>
      <sz val="10"/>
    </font>
    <font>
      <name val="Segoe UI"/>
      <b val="1"/>
      <color rgb="00555555"/>
      <sz val="9"/>
    </font>
    <font>
      <name val="Segoe UI"/>
      <b val="1"/>
      <color rgb="00212121"/>
      <sz val="10"/>
    </font>
    <font>
      <name val="Segoe UI"/>
      <color rgb="00212121"/>
      <sz val="10"/>
    </font>
    <font>
      <name val="Segoe UI"/>
      <b val="1"/>
      <color rgb="00FFFFFF"/>
      <sz val="10"/>
    </font>
    <font>
      <name val="Segoe UI"/>
      <b val="1"/>
      <color rgb="001B4314"/>
      <sz val="11"/>
    </font>
    <font>
      <name val="Segoe UI"/>
      <b val="1"/>
      <color rgb="002D5A27"/>
      <sz val="10"/>
    </font>
  </fonts>
  <fills count="6">
    <fill>
      <patternFill/>
    </fill>
    <fill>
      <patternFill patternType="gray125"/>
    </fill>
    <fill>
      <patternFill patternType="solid">
        <fgColor rgb="002D5A27"/>
        <bgColor rgb="002D5A27"/>
      </patternFill>
    </fill>
    <fill>
      <patternFill patternType="solid">
        <fgColor rgb="00385723"/>
        <bgColor rgb="00385723"/>
      </patternFill>
    </fill>
    <fill>
      <patternFill patternType="solid">
        <fgColor rgb="00F4F9F3"/>
        <bgColor rgb="00F4F9F3"/>
      </patternFill>
    </fill>
    <fill>
      <patternFill patternType="solid">
        <fgColor rgb="00E2EFE0"/>
        <bgColor rgb="00E2EFE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2D5A2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164" fontId="4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0" fontId="8" fillId="0" borderId="0" pivotButton="0" quotePrefix="0" xfId="0"/>
    <xf numFmtId="164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65" customWidth="1" min="3" max="3"/>
    <col width="8" customWidth="1" min="4" max="4"/>
    <col width="10" customWidth="1" min="5" max="5"/>
    <col width="22" customWidth="1" min="6" max="6"/>
    <col width="24" customWidth="1" min="7" max="7"/>
  </cols>
  <sheetData>
    <row r="1">
      <c r="A1" s="1" t="inlineStr">
        <is>
          <t>PENWARAN HARGA &amp; ESTIMASI BIAYA DEVELOPMENT WEBSITE</t>
        </is>
      </c>
    </row>
    <row r="2"/>
    <row r="3">
      <c r="A3" s="2" t="inlineStr">
        <is>
          <t>Proyek: Sistem Informasi Reservasi Salon &amp; Home Service (Salon Yalia Beauty)</t>
        </is>
      </c>
    </row>
    <row r="5">
      <c r="A5" s="3" t="inlineStr">
        <is>
          <t>Bantu Klien</t>
        </is>
      </c>
      <c r="B5" s="4" t="inlineStr">
        <is>
          <t>Salon Yalia Beauty</t>
        </is>
      </c>
      <c r="E5" s="3" t="inlineStr">
        <is>
          <t>No. Dokumen</t>
        </is>
      </c>
      <c r="F5" s="5" t="inlineStr">
        <is>
          <t>QUO-2026/YB/001</t>
        </is>
      </c>
    </row>
    <row r="6">
      <c r="A6" s="3" t="inlineStr">
        <is>
          <t>Perihal</t>
        </is>
      </c>
      <c r="B6" s="4" t="inlineStr">
        <is>
          <t>Pengembangan Website &amp; Sistem Reservasi</t>
        </is>
      </c>
      <c r="E6" s="3" t="inlineStr">
        <is>
          <t>Tanggal</t>
        </is>
      </c>
      <c r="F6" s="5" t="inlineStr">
        <is>
          <t>31 Agustus 2026</t>
        </is>
      </c>
    </row>
    <row r="7">
      <c r="A7" s="3" t="inlineStr">
        <is>
          <t>Teknologi Stack</t>
        </is>
      </c>
      <c r="B7" s="4" t="inlineStr">
        <is>
          <t>Laravel 13, Octane, Breeze, Tailwind, Midtrans</t>
        </is>
      </c>
      <c r="E7" s="3" t="inlineStr">
        <is>
          <t>Masa Berlaku</t>
        </is>
      </c>
      <c r="F7" s="5" t="inlineStr">
        <is>
          <t>30 Hari</t>
        </is>
      </c>
    </row>
    <row r="8" ht="10" customHeight="1"/>
    <row r="9" ht="26" customHeight="1">
      <c r="A9" s="6" t="inlineStr">
        <is>
          <t>No</t>
        </is>
      </c>
      <c r="B9" s="6" t="inlineStr">
        <is>
          <t>Modul / Fitur Website</t>
        </is>
      </c>
      <c r="C9" s="6" t="inlineStr">
        <is>
          <t>Deskripsi &amp; Cakupan Spesifikasi</t>
        </is>
      </c>
      <c r="D9" s="6" t="inlineStr">
        <is>
          <t>Qty</t>
        </is>
      </c>
      <c r="E9" s="6" t="inlineStr">
        <is>
          <t>Satuan</t>
        </is>
      </c>
      <c r="F9" s="6" t="inlineStr">
        <is>
          <t>Harga Satuan (Rp)</t>
        </is>
      </c>
      <c r="G9" s="6" t="inlineStr">
        <is>
          <t>Total Biaya (Rp)</t>
        </is>
      </c>
    </row>
    <row r="10" ht="32" customHeight="1">
      <c r="A10" s="7" t="n">
        <v>1</v>
      </c>
      <c r="B10" s="8" t="inlineStr">
        <is>
          <t>Dokumentasi &amp; Arsitektur Sistem</t>
        </is>
      </c>
      <c r="C10" s="9" t="inlineStr">
        <is>
          <t>Flowchart Manual System (5 Diagram), ERD Database Pohon (15 Entitas), DFD Level 0 &amp; Level 1 Data Stores, Dokumentasi RPL</t>
        </is>
      </c>
      <c r="D10" s="7" t="n">
        <v>1</v>
      </c>
      <c r="E10" s="7" t="inlineStr">
        <is>
          <t>Paket</t>
        </is>
      </c>
      <c r="F10" s="10" t="n">
        <v>2500000</v>
      </c>
      <c r="G10" s="11">
        <f>D10*F10</f>
        <v/>
      </c>
    </row>
    <row r="11" ht="32" customHeight="1">
      <c r="A11" s="12" t="n">
        <v>2</v>
      </c>
      <c r="B11" s="13" t="inlineStr">
        <is>
          <t>Design UI/UX &amp; Responsive Front-End</t>
        </is>
      </c>
      <c r="C11" s="14" t="inlineStr">
        <is>
          <t>Design System Soft Pink (#f472b6), Landing Page, Treatments Catalog &amp; Filter, Navigation Component, Responsive Mobile/Desktop</t>
        </is>
      </c>
      <c r="D11" s="12" t="n">
        <v>1</v>
      </c>
      <c r="E11" s="12" t="inlineStr">
        <is>
          <t>Paket</t>
        </is>
      </c>
      <c r="F11" s="15" t="n">
        <v>4000000</v>
      </c>
      <c r="G11" s="16">
        <f>D11*F11</f>
        <v/>
      </c>
    </row>
    <row r="12" ht="32" customHeight="1">
      <c r="A12" s="7" t="n">
        <v>3</v>
      </c>
      <c r="B12" s="8" t="inlineStr">
        <is>
          <t>Core Booking Engine &amp; Home Service GPS</t>
        </is>
      </c>
      <c r="C12" s="9" t="inlineStr">
        <is>
          <t>Fitur In-Salon vs Home Service, Perhitungan Slot Jam Availability Bebas Bentrok, Validas Radius GPS Geofencing, Workload Beautician</t>
        </is>
      </c>
      <c r="D12" s="7" t="n">
        <v>1</v>
      </c>
      <c r="E12" s="7" t="inlineStr">
        <is>
          <t>Modul</t>
        </is>
      </c>
      <c r="F12" s="10" t="n">
        <v>5500000</v>
      </c>
      <c r="G12" s="11">
        <f>D12*F12</f>
        <v/>
      </c>
    </row>
    <row r="13" ht="32" customHeight="1">
      <c r="A13" s="12" t="n">
        <v>4</v>
      </c>
      <c r="B13" s="13" t="inlineStr">
        <is>
          <t>Payment Gateway &amp; Webhook Midtrans</t>
        </is>
      </c>
      <c r="C13" s="14" t="inlineStr">
        <is>
          <t>Integrasi Midtrans Snap &amp; QRIS, Webhook Auto Settlement/Expired, Real-time Payment Status, E-Receipt Digital</t>
        </is>
      </c>
      <c r="D13" s="12" t="n">
        <v>1</v>
      </c>
      <c r="E13" s="12" t="inlineStr">
        <is>
          <t>Modul</t>
        </is>
      </c>
      <c r="F13" s="15" t="n">
        <v>3500000</v>
      </c>
      <c r="G13" s="16">
        <f>D13*F13</f>
        <v/>
      </c>
    </row>
    <row r="14" ht="32" customHeight="1">
      <c r="A14" s="7" t="n">
        <v>5</v>
      </c>
      <c r="B14" s="8" t="inlineStr">
        <is>
          <t>Gamifikasi, Loyalty Tier &amp; Voucher Engine</t>
        </is>
      </c>
      <c r="C14" s="9" t="inlineStr">
        <is>
          <t>Perhitungan Poin Reward PTS per Perawatan, Level Badge Tier (Regular, Silver, Gold, Platinum), Check-in Streak, Kode Voucher Diskon</t>
        </is>
      </c>
      <c r="D14" s="7" t="n">
        <v>1</v>
      </c>
      <c r="E14" s="7" t="inlineStr">
        <is>
          <t>Modul</t>
        </is>
      </c>
      <c r="F14" s="10" t="n">
        <v>3000000</v>
      </c>
      <c r="G14" s="11">
        <f>D14*F14</f>
        <v/>
      </c>
    </row>
    <row r="15" ht="32" customHeight="1">
      <c r="A15" s="12" t="n">
        <v>6</v>
      </c>
      <c r="B15" s="13" t="inlineStr">
        <is>
          <t>Admin Portal, Journal Finance &amp; OCR Receipt</t>
        </is>
      </c>
      <c r="C15" s="14" t="inlineStr">
        <is>
          <t>Dashboard Admin Monitoring Reservasi, Laporan Transaksi Keuangan (Income/Expense Ledger), OCR Struk Belanja dengan AI</t>
        </is>
      </c>
      <c r="D15" s="12" t="n">
        <v>1</v>
      </c>
      <c r="E15" s="12" t="inlineStr">
        <is>
          <t>Modul</t>
        </is>
      </c>
      <c r="F15" s="15" t="n">
        <v>4500000</v>
      </c>
      <c r="G15" s="16">
        <f>D15*F15</f>
        <v/>
      </c>
    </row>
    <row r="16" ht="32" customHeight="1">
      <c r="A16" s="7" t="n">
        <v>7</v>
      </c>
      <c r="B16" s="8" t="inlineStr">
        <is>
          <t>Testing, Optimasi Performance &amp; Staging</t>
        </is>
      </c>
      <c r="C16" s="9" t="inlineStr">
        <is>
          <t>Unit Testing PHPUnit, Performance Optimization Laravel Octane v2, Middleware Security, Sanitasi Input, Handover &amp; Staging Server</t>
        </is>
      </c>
      <c r="D16" s="7" t="n">
        <v>1</v>
      </c>
      <c r="E16" s="7" t="inlineStr">
        <is>
          <t>Paket</t>
        </is>
      </c>
      <c r="F16" s="10" t="n">
        <v>2000000</v>
      </c>
      <c r="G16" s="11">
        <f>D16*F16</f>
        <v/>
      </c>
    </row>
    <row r="17" ht="24" customHeight="1">
      <c r="A17" s="17" t="inlineStr">
        <is>
          <t>SUBTOTAL BIAYA FITUR</t>
        </is>
      </c>
      <c r="B17" s="18" t="n"/>
      <c r="C17" s="18" t="n"/>
      <c r="D17" s="18" t="n"/>
      <c r="E17" s="18" t="n"/>
      <c r="F17" s="18" t="n"/>
      <c r="G17" s="19">
        <f>SUM(G10:G16)</f>
        <v/>
      </c>
    </row>
    <row r="18" ht="22" customHeight="1">
      <c r="A18" s="20" t="inlineStr">
        <is>
          <t>Diskon Bundling Proyek (Paket Akademik SMK/UKK)</t>
        </is>
      </c>
      <c r="B18" s="18" t="n"/>
      <c r="C18" s="18" t="n"/>
      <c r="D18" s="18" t="n"/>
      <c r="E18" s="18" t="n"/>
      <c r="F18" s="18" t="n"/>
      <c r="G18" s="21" t="n">
        <v>0</v>
      </c>
    </row>
    <row r="19" ht="28" customHeight="1">
      <c r="A19" s="22" t="inlineStr">
        <is>
          <t>GRAND TOTAL ESTIMASI BIAYA PROYEK</t>
        </is>
      </c>
      <c r="B19" s="18" t="n"/>
      <c r="C19" s="18" t="n"/>
      <c r="D19" s="18" t="n"/>
      <c r="E19" s="18" t="n"/>
      <c r="F19" s="18" t="n"/>
      <c r="G19" s="23">
        <f>G17-G18</f>
        <v/>
      </c>
    </row>
    <row r="21">
      <c r="A21" s="24" t="inlineStr">
        <is>
          <t>TERMIN PEMBAYARAN (PAYMENT MILESTONES)</t>
        </is>
      </c>
      <c r="E21" s="24" t="inlineStr">
        <is>
          <t>LAYANAN TERMASUK (INCLUSIONS)</t>
        </is>
      </c>
    </row>
    <row r="22" ht="20" customHeight="1">
      <c r="A22" s="5" t="inlineStr">
        <is>
          <t>Termin 1 (DP 30%)</t>
        </is>
      </c>
      <c r="B22" s="25">
        <f>G19*0.3</f>
        <v/>
      </c>
      <c r="E22" s="5" t="inlineStr">
        <is>
          <t>✓ Source Code Lengkap (Laravel 13 &amp; Tailwind)</t>
        </is>
      </c>
    </row>
    <row r="23" ht="20" customHeight="1">
      <c r="A23" s="5" t="inlineStr">
        <is>
          <t>Termin 2 (Progress 40%)</t>
        </is>
      </c>
      <c r="B23" s="25">
        <f>G19*0.4</f>
        <v/>
      </c>
      <c r="E23" s="5" t="inlineStr">
        <is>
          <t>✓ Dokumentasi Lengkap (Flowchart, ERD, DFD)</t>
        </is>
      </c>
    </row>
    <row r="24" ht="20" customHeight="1">
      <c r="A24" s="5" t="inlineStr">
        <is>
          <t>Termin 3 (Pelunasan 30%)</t>
        </is>
      </c>
      <c r="B24" s="25">
        <f>G19*0.3</f>
        <v/>
      </c>
      <c r="E24" s="5" t="inlineStr">
        <is>
          <t>✓ Garansi Maintenance &amp; Support (3 Bulan)</t>
        </is>
      </c>
    </row>
  </sheetData>
  <mergeCells count="7">
    <mergeCell ref="A1:G2"/>
    <mergeCell ref="A19:F19"/>
    <mergeCell ref="A3:G3"/>
    <mergeCell ref="A21:D21"/>
    <mergeCell ref="A17:F17"/>
    <mergeCell ref="A18:F18"/>
    <mergeCell ref="E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2026-09-01T00:12:16Z</dcterms:created>
  <dcterms:modified xsi:type="dcterms:W3CDTF">2026-09-01T00:12:16Z</dcterms:modified>
</cp:coreProperties>
</file>